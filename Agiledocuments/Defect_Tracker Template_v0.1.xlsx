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ects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jlwFsf0Dd3dn2SeOXFoARJrR+8r3//0N41/QAK7vaQ0="/>
    </ext>
  </extLst>
</workbook>
</file>

<file path=xl/sharedStrings.xml><?xml version="1.0" encoding="utf-8"?>
<sst xmlns="http://schemas.openxmlformats.org/spreadsheetml/2006/main" count="155" uniqueCount="68">
  <si>
    <t>Logical</t>
  </si>
  <si>
    <t>User Interface</t>
  </si>
  <si>
    <t>Maintainability</t>
  </si>
  <si>
    <t>Standards</t>
  </si>
  <si>
    <t>Others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</si>
  <si>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</si>
  <si>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</si>
  <si>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</si>
  <si>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</si>
  <si>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</si>
  <si>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</si>
  <si>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</si>
  <si>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</si>
  <si>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</si>
  <si>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</si>
  <si>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Column 1</t>
  </si>
  <si>
    <t>Column 2</t>
  </si>
  <si>
    <t>Column 3</t>
  </si>
  <si>
    <t>Pattem Dolly Sai Iswarya</t>
  </si>
  <si>
    <t>Duplicate submission routes registered</t>
  </si>
  <si>
    <t>Sprint1</t>
  </si>
  <si>
    <t>Removed duplicate APIs</t>
  </si>
  <si>
    <t>closed</t>
  </si>
  <si>
    <t>verified successfully</t>
  </si>
  <si>
    <t>Frontend could not connect to backend</t>
  </si>
  <si>
    <t>Sprint2</t>
  </si>
  <si>
    <t>Updated backend endpoint</t>
  </si>
  <si>
    <t>working</t>
  </si>
  <si>
    <t>Anthropic dependency removed</t>
  </si>
  <si>
    <t>Migrated to Gemini API</t>
  </si>
  <si>
    <t>API updated</t>
  </si>
  <si>
    <t>Flask dependency removed</t>
  </si>
  <si>
    <t>Installed Flask package</t>
  </si>
  <si>
    <t>Verified</t>
  </si>
  <si>
    <t>resolved</t>
  </si>
  <si>
    <t>Gemini API key not loaded</t>
  </si>
  <si>
    <t>Added .env loading</t>
  </si>
  <si>
    <t>RAG retrieval pipeline incomplete</t>
  </si>
  <si>
    <t>Implementation ongoing</t>
  </si>
  <si>
    <t>Closed</t>
  </si>
  <si>
    <t>Remediation Agent response not mapped to findings</t>
  </si>
  <si>
    <t>Sprint3</t>
  </si>
  <si>
    <t>Pattem Dolly Sai</t>
  </si>
  <si>
    <t>Mapped remediation output with findings</t>
  </si>
  <si>
    <t>PR Summary missing severity breakdown</t>
  </si>
  <si>
    <t>Updated PR Summary generation</t>
  </si>
  <si>
    <t>Working</t>
  </si>
  <si>
    <t>Findings Dashboard not displaying remediation details</t>
  </si>
  <si>
    <t>Updated dashboard UI</t>
  </si>
  <si>
    <t>Overall Code Health Score not calculated</t>
  </si>
  <si>
    <t>Added health score computation</t>
  </si>
  <si>
    <t>AI Chat not retrieving knowledge base response</t>
  </si>
  <si>
    <t>Improved RAG retrieval integration</t>
  </si>
  <si>
    <t>Dashboard summary cards not refreshing after analysis</t>
  </si>
  <si>
    <t>Added automatic refresh logic</t>
  </si>
  <si>
    <t>Report generation was incomplete</t>
  </si>
  <si>
    <t>Sprint4</t>
  </si>
  <si>
    <t>Implemented PDF, JSON and Markdown report generation</t>
  </si>
  <si>
    <t>verified</t>
  </si>
  <si>
    <t>Analysis history was not displaying previous submissions correctly</t>
  </si>
  <si>
    <t>Updated history retrieval and display logic</t>
  </si>
  <si>
    <t>Security findings were not consistently mapped to OWASP categories</t>
  </si>
  <si>
    <t>Added CWE-to-OWASP mapping and updated security analysis</t>
  </si>
  <si>
    <t>End-to-end inspection workflow required final validation</t>
  </si>
  <si>
    <t>Integrated submission, analysis, security, remediation and summary modules and performed validation</t>
  </si>
  <si>
    <t>13-08-1016</t>
  </si>
  <si>
    <t>Final system validation and milestone completion pending</t>
  </si>
  <si>
    <t>Completed integrated testing, fixed identified issues and finalized Milestone 4 deliverables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</si>
</sst>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-m-yyyy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  <font>
      <b/>
      <sz val="12.0"/>
      <color theme="1"/>
      <name val="Calibri"/>
    </font>
    <font>
      <b/>
      <sz val="10.0"/>
      <color theme="1"/>
      <name val="Calibri"/>
    </font>
    <font>
      <b/>
      <sz val="10.0"/>
      <color theme="0"/>
      <name val="Calibri"/>
    </font>
    <font>
      <sz val="12.0"/>
      <color rgb="FF003366"/>
      <name val="Calibri"/>
    </font>
    <font>
      <sz val="10.0"/>
      <color theme="1"/>
      <name val="Calibri"/>
    </font>
    <font>
      <b/>
      <sz val="12.0"/>
      <color rgb="FFFFFFFF"/>
      <name val="Calibri"/>
    </font>
    <font>
      <sz val="12.0"/>
      <color theme="1"/>
      <name val="Calibri"/>
    </font>
    <font>
      <sz val="12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548DD4"/>
        <bgColor rgb="FF548D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left" readingOrder="0" shrinkToFit="0" vertical="top" wrapText="1"/>
    </xf>
    <xf borderId="0" fillId="0" fontId="4" numFmtId="0" xfId="0" applyAlignment="1" applyFont="1">
      <alignment horizontal="left" readingOrder="0" shrinkToFit="0" vertical="center" wrapText="1"/>
    </xf>
    <xf borderId="1" fillId="2" fontId="5" numFmtId="0" xfId="0" applyBorder="1" applyFill="1" applyFont="1"/>
    <xf borderId="1" fillId="0" fontId="6" numFmtId="0" xfId="0" applyAlignment="1" applyBorder="1" applyFont="1">
      <alignment readingOrder="0" shrinkToFit="0" vertical="top" wrapText="1"/>
    </xf>
    <xf borderId="1" fillId="0" fontId="6" numFmtId="0" xfId="0" applyAlignment="1" applyBorder="1" applyFont="1">
      <alignment readingOrder="0" shrinkToFit="0" vertical="top" wrapText="1"/>
    </xf>
    <xf borderId="0" fillId="0" fontId="1" numFmtId="164" xfId="0" applyAlignment="1" applyFont="1" applyNumberForma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1" fillId="0" fontId="6" numFmtId="165" xfId="0" applyAlignment="1" applyBorder="1" applyFont="1" applyNumberFormat="1">
      <alignment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1" fillId="0" fontId="7" numFmtId="0" xfId="0" applyAlignment="1" applyBorder="1" applyFont="1">
      <alignment shrinkToFit="0" vertical="center" wrapText="1"/>
    </xf>
    <xf borderId="1" fillId="0" fontId="7" numFmtId="0" xfId="0" applyBorder="1" applyFont="1"/>
    <xf borderId="1" fillId="2" fontId="8" numFmtId="0" xfId="0" applyAlignment="1" applyBorder="1" applyFont="1">
      <alignment readingOrder="0" shrinkToFit="0" vertical="top" wrapText="1"/>
    </xf>
    <xf borderId="1" fillId="0" fontId="6" numFmtId="165" xfId="0" applyAlignment="1" applyBorder="1" applyFont="1" applyNumberFormat="1">
      <alignment readingOrder="0" shrinkToFit="0" vertical="top" wrapText="1"/>
    </xf>
    <xf borderId="0" fillId="0" fontId="1" numFmtId="0" xfId="0" applyAlignment="1" applyFont="1">
      <alignment readingOrder="0" shrinkToFit="0" vertical="center" wrapText="0"/>
    </xf>
    <xf borderId="1" fillId="0" fontId="9" numFmtId="0" xfId="0" applyAlignment="1" applyBorder="1" applyFont="1">
      <alignment readingOrder="0" shrinkToFit="0" vertical="top" wrapText="1"/>
    </xf>
    <xf borderId="1" fillId="0" fontId="9" numFmtId="165" xfId="0" applyAlignment="1" applyBorder="1" applyFont="1" applyNumberFormat="1">
      <alignment readingOrder="0" shrinkToFit="0" vertical="top" wrapText="1"/>
    </xf>
    <xf borderId="0" fillId="0" fontId="1" numFmtId="0" xfId="0" applyAlignment="1" applyFont="1">
      <alignment readingOrder="0"/>
    </xf>
    <xf borderId="1" fillId="0" fontId="6" numFmtId="165" xfId="0" applyAlignment="1" applyBorder="1" applyFont="1" applyNumberFormat="1">
      <alignment readingOrder="0" shrinkToFit="0" vertical="top" wrapText="1"/>
    </xf>
    <xf borderId="0" fillId="0" fontId="1" numFmtId="164" xfId="0" applyAlignment="1" applyFont="1" applyNumberFormat="1">
      <alignment readingOrder="0"/>
    </xf>
    <xf borderId="1" fillId="0" fontId="9" numFmtId="164" xfId="0" applyAlignment="1" applyBorder="1" applyFont="1" applyNumberFormat="1">
      <alignment readingOrder="0" shrinkToFit="0" vertical="top" wrapText="1"/>
    </xf>
    <xf borderId="1" fillId="0" fontId="10" numFmtId="0" xfId="0" applyAlignment="1" applyBorder="1" applyFont="1">
      <alignment readingOrder="0" shrinkToFit="0" vertical="top" wrapText="1"/>
    </xf>
    <xf borderId="1" fillId="0" fontId="6" numFmtId="164" xfId="0" applyAlignment="1" applyBorder="1" applyFont="1" applyNumberFormat="1">
      <alignment readingOrder="0" shrinkToFit="0" vertical="top" wrapText="1"/>
    </xf>
    <xf borderId="1" fillId="0" fontId="6" numFmtId="0" xfId="0" applyAlignment="1" applyBorder="1" applyFont="1">
      <alignment shrinkToFit="0" vertical="top" wrapText="1"/>
    </xf>
    <xf borderId="1" fillId="0" fontId="9" numFmtId="0" xfId="0" applyAlignment="1" applyBorder="1" applyFont="1">
      <alignment shrinkToFit="0" vertical="top" wrapText="1"/>
    </xf>
    <xf borderId="1" fillId="0" fontId="10" numFmtId="0" xfId="0" applyAlignment="1" applyBorder="1" applyFont="1">
      <alignment shrinkToFit="0" vertical="top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Defect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1:N12" displayName="Table1" name="Table1" id="1">
  <tableColumns count="13">
    <tableColumn name="Submitted By" id="1"/>
    <tableColumn name="Submitted Date" id="2"/>
    <tableColumn name="Description" id="3"/>
    <tableColumn name="Detected Sprint" id="4"/>
    <tableColumn name="Assigned To" id="5"/>
    <tableColumn name="Type Of Defect" id="6"/>
    <tableColumn name="Action Taken" id="7"/>
    <tableColumn name="Action Taken Date" id="8"/>
    <tableColumn name="Status(Open/Closed)" id="9"/>
    <tableColumn name="Remarks" id="10"/>
    <tableColumn name="Column 1" id="11"/>
    <tableColumn name="Column 2" id="12"/>
    <tableColumn name="Column 3" id="13"/>
  </tableColumns>
  <tableStyleInfo name="Defec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.38"/>
    <col customWidth="1" min="2" max="2" width="20.5"/>
    <col customWidth="1" min="3" max="3" width="21.75"/>
    <col customWidth="1" min="4" max="4" width="37.63"/>
    <col customWidth="1" min="5" max="5" width="16.0"/>
    <col customWidth="1" min="6" max="6" width="14.38"/>
    <col customWidth="1" min="7" max="7" width="15.75"/>
    <col customWidth="1" min="8" max="8" width="32.63"/>
    <col customWidth="1" min="9" max="10" width="21.88"/>
    <col customWidth="1" min="11" max="11" width="16.88"/>
    <col customWidth="1" min="12" max="26" width="17.63"/>
  </cols>
  <sheetData>
    <row r="1" ht="39.75" customHeight="1"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4" t="s">
        <v>15</v>
      </c>
      <c r="M1" s="4" t="s">
        <v>16</v>
      </c>
      <c r="N1" s="4" t="s">
        <v>17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39.75" customHeight="1">
      <c r="A2" s="6">
        <v>1.0</v>
      </c>
      <c r="B2" s="7" t="s">
        <v>18</v>
      </c>
      <c r="C2" s="8">
        <v>46211.0</v>
      </c>
      <c r="D2" s="9" t="s">
        <v>19</v>
      </c>
      <c r="E2" s="7" t="s">
        <v>20</v>
      </c>
      <c r="F2" s="7" t="s">
        <v>18</v>
      </c>
      <c r="G2" s="6" t="s">
        <v>1</v>
      </c>
      <c r="H2" s="9" t="s">
        <v>21</v>
      </c>
      <c r="I2" s="10">
        <v>46212.0</v>
      </c>
      <c r="J2" s="11" t="s">
        <v>22</v>
      </c>
      <c r="K2" s="7" t="s">
        <v>23</v>
      </c>
      <c r="L2" s="12"/>
      <c r="M2" s="12"/>
      <c r="N2" s="12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39.75" customHeight="1">
      <c r="A3" s="6">
        <v>2.0</v>
      </c>
      <c r="B3" s="14" t="s">
        <v>18</v>
      </c>
      <c r="C3" s="15">
        <v>46213.0</v>
      </c>
      <c r="D3" s="9" t="s">
        <v>24</v>
      </c>
      <c r="E3" s="7" t="s">
        <v>25</v>
      </c>
      <c r="F3" s="7" t="s">
        <v>18</v>
      </c>
      <c r="G3" s="6" t="s">
        <v>0</v>
      </c>
      <c r="H3" s="9" t="s">
        <v>26</v>
      </c>
      <c r="I3" s="10">
        <v>46214.0</v>
      </c>
      <c r="J3" s="11" t="s">
        <v>22</v>
      </c>
      <c r="K3" s="7" t="s">
        <v>27</v>
      </c>
      <c r="L3" s="12"/>
      <c r="M3" s="12"/>
      <c r="N3" s="12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39.75" customHeight="1">
      <c r="A4" s="6">
        <v>3.0</v>
      </c>
      <c r="B4" s="7" t="s">
        <v>18</v>
      </c>
      <c r="C4" s="15">
        <v>46216.0</v>
      </c>
      <c r="D4" s="7" t="s">
        <v>28</v>
      </c>
      <c r="E4" s="7" t="s">
        <v>25</v>
      </c>
      <c r="F4" s="7" t="s">
        <v>18</v>
      </c>
      <c r="G4" s="6" t="s">
        <v>2</v>
      </c>
      <c r="H4" s="9" t="s">
        <v>29</v>
      </c>
      <c r="I4" s="10">
        <v>46218.0</v>
      </c>
      <c r="J4" s="11" t="s">
        <v>22</v>
      </c>
      <c r="K4" s="7" t="s">
        <v>30</v>
      </c>
      <c r="L4" s="12"/>
      <c r="M4" s="12"/>
      <c r="N4" s="12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39.75" customHeight="1">
      <c r="A5" s="6">
        <v>4.0</v>
      </c>
      <c r="B5" s="7" t="s">
        <v>18</v>
      </c>
      <c r="C5" s="15">
        <v>46219.0</v>
      </c>
      <c r="D5" s="7" t="s">
        <v>31</v>
      </c>
      <c r="E5" s="7" t="s">
        <v>25</v>
      </c>
      <c r="F5" s="7" t="s">
        <v>18</v>
      </c>
      <c r="G5" s="6" t="s">
        <v>1</v>
      </c>
      <c r="H5" s="9" t="s">
        <v>32</v>
      </c>
      <c r="I5" s="10">
        <v>46219.0</v>
      </c>
      <c r="J5" s="16" t="s">
        <v>33</v>
      </c>
      <c r="K5" s="7" t="s">
        <v>34</v>
      </c>
      <c r="L5" s="12"/>
      <c r="M5" s="12"/>
      <c r="N5" s="12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39.75" customHeight="1">
      <c r="A6" s="6">
        <v>5.0</v>
      </c>
      <c r="B6" s="7" t="s">
        <v>18</v>
      </c>
      <c r="C6" s="15">
        <v>46221.0</v>
      </c>
      <c r="D6" s="7" t="s">
        <v>35</v>
      </c>
      <c r="E6" s="7" t="s">
        <v>25</v>
      </c>
      <c r="F6" s="7" t="s">
        <v>18</v>
      </c>
      <c r="G6" s="6" t="s">
        <v>2</v>
      </c>
      <c r="H6" s="9" t="s">
        <v>36</v>
      </c>
      <c r="I6" s="10">
        <v>46222.0</v>
      </c>
      <c r="J6" s="11" t="s">
        <v>22</v>
      </c>
      <c r="K6" s="9" t="s">
        <v>33</v>
      </c>
      <c r="L6" s="12"/>
      <c r="M6" s="12"/>
      <c r="N6" s="12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39.75" customHeight="1">
      <c r="A7" s="17">
        <v>6.0</v>
      </c>
      <c r="B7" s="7" t="s">
        <v>18</v>
      </c>
      <c r="C7" s="18">
        <v>46224.0</v>
      </c>
      <c r="D7" s="7" t="s">
        <v>37</v>
      </c>
      <c r="E7" s="7" t="s">
        <v>25</v>
      </c>
      <c r="F7" s="7" t="s">
        <v>18</v>
      </c>
      <c r="G7" s="17" t="s">
        <v>3</v>
      </c>
      <c r="H7" s="9" t="s">
        <v>38</v>
      </c>
      <c r="I7" s="8">
        <v>46228.0</v>
      </c>
      <c r="J7" s="9" t="s">
        <v>39</v>
      </c>
      <c r="K7" s="9" t="s">
        <v>33</v>
      </c>
      <c r="L7" s="12"/>
      <c r="M7" s="12"/>
      <c r="N7" s="12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39.75" customHeight="1">
      <c r="A8" s="6">
        <v>7.0</v>
      </c>
      <c r="B8" s="9" t="s">
        <v>18</v>
      </c>
      <c r="C8" s="8">
        <v>46227.0</v>
      </c>
      <c r="D8" s="9" t="s">
        <v>40</v>
      </c>
      <c r="E8" s="9" t="s">
        <v>41</v>
      </c>
      <c r="F8" s="9" t="s">
        <v>42</v>
      </c>
      <c r="G8" s="6" t="s">
        <v>0</v>
      </c>
      <c r="H8" s="9" t="s">
        <v>43</v>
      </c>
      <c r="I8" s="8">
        <v>46229.0</v>
      </c>
      <c r="J8" s="9" t="s">
        <v>39</v>
      </c>
      <c r="K8" s="9" t="s">
        <v>33</v>
      </c>
      <c r="L8" s="12"/>
      <c r="M8" s="12"/>
      <c r="N8" s="12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39.75" customHeight="1">
      <c r="A9" s="17">
        <v>8.0</v>
      </c>
      <c r="B9" s="9" t="s">
        <v>18</v>
      </c>
      <c r="C9" s="8">
        <v>46228.0</v>
      </c>
      <c r="D9" s="9" t="s">
        <v>44</v>
      </c>
      <c r="E9" s="9" t="s">
        <v>41</v>
      </c>
      <c r="F9" s="9" t="s">
        <v>42</v>
      </c>
      <c r="G9" s="17" t="s">
        <v>1</v>
      </c>
      <c r="H9" s="9" t="s">
        <v>45</v>
      </c>
      <c r="I9" s="8">
        <v>46230.0</v>
      </c>
      <c r="J9" s="9" t="s">
        <v>39</v>
      </c>
      <c r="K9" s="9" t="s">
        <v>46</v>
      </c>
      <c r="L9" s="12"/>
      <c r="M9" s="12"/>
      <c r="N9" s="12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39.75" customHeight="1">
      <c r="A10" s="17">
        <v>9.0</v>
      </c>
      <c r="B10" s="9" t="s">
        <v>18</v>
      </c>
      <c r="C10" s="8">
        <v>46229.0</v>
      </c>
      <c r="D10" s="9" t="s">
        <v>47</v>
      </c>
      <c r="E10" s="9" t="s">
        <v>41</v>
      </c>
      <c r="F10" s="9" t="s">
        <v>42</v>
      </c>
      <c r="G10" s="17" t="s">
        <v>1</v>
      </c>
      <c r="H10" s="9" t="s">
        <v>48</v>
      </c>
      <c r="I10" s="8">
        <v>46231.0</v>
      </c>
      <c r="J10" s="9" t="s">
        <v>39</v>
      </c>
      <c r="K10" s="9" t="s">
        <v>33</v>
      </c>
      <c r="L10" s="12"/>
      <c r="M10" s="12"/>
      <c r="N10" s="12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39.75" customHeight="1">
      <c r="A11" s="6">
        <v>10.0</v>
      </c>
      <c r="B11" s="9" t="s">
        <v>18</v>
      </c>
      <c r="C11" s="8">
        <v>46230.0</v>
      </c>
      <c r="D11" s="9" t="s">
        <v>49</v>
      </c>
      <c r="E11" s="9" t="s">
        <v>41</v>
      </c>
      <c r="F11" s="9" t="s">
        <v>42</v>
      </c>
      <c r="G11" s="6" t="s">
        <v>0</v>
      </c>
      <c r="H11" s="9" t="s">
        <v>50</v>
      </c>
      <c r="I11" s="8">
        <v>46232.0</v>
      </c>
      <c r="J11" s="9" t="s">
        <v>39</v>
      </c>
      <c r="K11" s="9" t="s">
        <v>46</v>
      </c>
      <c r="L11" s="12"/>
      <c r="M11" s="12"/>
      <c r="N11" s="12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39.75" customHeight="1">
      <c r="A12" s="17">
        <v>11.0</v>
      </c>
      <c r="B12" s="9" t="s">
        <v>18</v>
      </c>
      <c r="C12" s="18">
        <v>46231.0</v>
      </c>
      <c r="D12" s="9" t="s">
        <v>51</v>
      </c>
      <c r="E12" s="9" t="s">
        <v>41</v>
      </c>
      <c r="F12" s="9" t="s">
        <v>42</v>
      </c>
      <c r="G12" s="17" t="s">
        <v>2</v>
      </c>
      <c r="H12" s="9" t="s">
        <v>52</v>
      </c>
      <c r="I12" s="8">
        <v>46233.0</v>
      </c>
      <c r="J12" s="9" t="s">
        <v>39</v>
      </c>
      <c r="K12" s="9" t="s">
        <v>33</v>
      </c>
      <c r="L12" s="12"/>
      <c r="M12" s="12"/>
      <c r="N12" s="12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39.75" customHeight="1">
      <c r="A13" s="6">
        <v>12.0</v>
      </c>
      <c r="B13" s="19" t="s">
        <v>18</v>
      </c>
      <c r="C13" s="20">
        <v>46232.0</v>
      </c>
      <c r="D13" s="19" t="s">
        <v>53</v>
      </c>
      <c r="E13" s="19" t="s">
        <v>41</v>
      </c>
      <c r="F13" s="19" t="s">
        <v>42</v>
      </c>
      <c r="G13" s="6" t="s">
        <v>1</v>
      </c>
      <c r="H13" s="19" t="s">
        <v>54</v>
      </c>
      <c r="I13" s="21">
        <v>46233.0</v>
      </c>
      <c r="J13" s="19" t="s">
        <v>39</v>
      </c>
      <c r="K13" s="19" t="s">
        <v>33</v>
      </c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39.75" customHeight="1">
      <c r="A14" s="17">
        <v>13.0</v>
      </c>
      <c r="B14" s="19" t="s">
        <v>18</v>
      </c>
      <c r="C14" s="22">
        <v>46235.0</v>
      </c>
      <c r="D14" s="19" t="s">
        <v>55</v>
      </c>
      <c r="E14" s="19" t="s">
        <v>56</v>
      </c>
      <c r="F14" s="19" t="s">
        <v>18</v>
      </c>
      <c r="G14" s="17" t="s">
        <v>0</v>
      </c>
      <c r="H14" s="19" t="s">
        <v>57</v>
      </c>
      <c r="I14" s="21">
        <v>46237.0</v>
      </c>
      <c r="J14" s="19" t="s">
        <v>39</v>
      </c>
      <c r="K14" s="23" t="s">
        <v>58</v>
      </c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39.75" customHeight="1">
      <c r="A15" s="6">
        <v>14.0</v>
      </c>
      <c r="B15" s="19" t="s">
        <v>18</v>
      </c>
      <c r="C15" s="24">
        <v>46238.0</v>
      </c>
      <c r="D15" s="19" t="s">
        <v>59</v>
      </c>
      <c r="E15" s="19" t="s">
        <v>56</v>
      </c>
      <c r="F15" s="19" t="s">
        <v>18</v>
      </c>
      <c r="G15" s="6" t="s">
        <v>1</v>
      </c>
      <c r="H15" s="19" t="s">
        <v>60</v>
      </c>
      <c r="I15" s="21">
        <v>46240.0</v>
      </c>
      <c r="J15" s="19" t="s">
        <v>39</v>
      </c>
      <c r="K15" s="6" t="s">
        <v>58</v>
      </c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39.75" customHeight="1">
      <c r="A16" s="17">
        <v>15.0</v>
      </c>
      <c r="B16" s="19" t="s">
        <v>18</v>
      </c>
      <c r="C16" s="22">
        <v>46241.0</v>
      </c>
      <c r="D16" s="19" t="s">
        <v>61</v>
      </c>
      <c r="E16" s="19" t="s">
        <v>56</v>
      </c>
      <c r="F16" s="19" t="s">
        <v>18</v>
      </c>
      <c r="G16" s="17" t="s">
        <v>3</v>
      </c>
      <c r="H16" s="19" t="s">
        <v>62</v>
      </c>
      <c r="I16" s="21">
        <v>46243.0</v>
      </c>
      <c r="J16" s="19" t="s">
        <v>39</v>
      </c>
      <c r="K16" s="23" t="s">
        <v>58</v>
      </c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39.75" customHeight="1">
      <c r="A17" s="17">
        <v>16.0</v>
      </c>
      <c r="B17" s="19" t="s">
        <v>18</v>
      </c>
      <c r="C17" s="22">
        <v>46244.0</v>
      </c>
      <c r="D17" s="19" t="s">
        <v>63</v>
      </c>
      <c r="E17" s="19" t="s">
        <v>56</v>
      </c>
      <c r="F17" s="19" t="s">
        <v>18</v>
      </c>
      <c r="G17" s="17" t="s">
        <v>0</v>
      </c>
      <c r="H17" s="19" t="s">
        <v>64</v>
      </c>
      <c r="I17" s="21">
        <v>46246.0</v>
      </c>
      <c r="J17" s="19" t="s">
        <v>39</v>
      </c>
      <c r="K17" s="23" t="s">
        <v>58</v>
      </c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39.75" customHeight="1">
      <c r="A18" s="17">
        <v>17.0</v>
      </c>
      <c r="B18" s="19" t="s">
        <v>18</v>
      </c>
      <c r="C18" s="22" t="s">
        <v>65</v>
      </c>
      <c r="D18" s="19" t="s">
        <v>66</v>
      </c>
      <c r="E18" s="19" t="s">
        <v>56</v>
      </c>
      <c r="F18" s="19" t="s">
        <v>18</v>
      </c>
      <c r="G18" s="17" t="s">
        <v>1</v>
      </c>
      <c r="H18" s="19" t="s">
        <v>67</v>
      </c>
      <c r="I18" s="21">
        <v>46249.0</v>
      </c>
      <c r="J18" s="19" t="s">
        <v>39</v>
      </c>
      <c r="K18" s="23" t="s">
        <v>58</v>
      </c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39.75" customHeight="1">
      <c r="A19" s="6">
        <v>18.0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39.75" customHeight="1">
      <c r="A20" s="26"/>
      <c r="B20" s="26"/>
      <c r="C20" s="26"/>
      <c r="D20" s="25"/>
      <c r="E20" s="25"/>
      <c r="F20" s="27"/>
      <c r="G20" s="26"/>
      <c r="H20" s="25"/>
      <c r="I20" s="25"/>
      <c r="J20" s="25"/>
      <c r="K20" s="27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39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39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39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39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39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39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39.7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39.7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39.7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39.7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39.7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39.7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39.7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39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39.7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39.7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39.7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39.7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39.7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39.7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39.7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39.7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39.7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39.7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39.7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39.7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39.7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39.7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39.7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39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39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39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39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39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39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39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39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39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39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39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39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39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39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39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39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39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39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39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39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39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39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39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39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39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39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39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39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39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39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39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39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39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39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39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39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39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39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39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39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39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39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39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39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39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39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39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39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39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39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39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39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39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39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39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39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39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39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39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39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39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39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39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39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39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39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39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39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39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39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39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39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39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39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39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39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39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39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39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39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39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39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39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39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39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39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39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39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39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39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39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39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39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39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39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39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39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39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39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39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39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39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39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39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39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39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39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39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39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39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39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39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39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39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39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39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39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39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39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39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39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39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39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39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39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39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39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39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39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39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39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39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39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39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39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39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39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39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39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39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39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39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39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39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39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39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39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39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39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39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39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39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39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39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39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39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39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39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39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39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39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39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39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39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39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39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39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39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39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39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39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39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39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39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39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39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39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39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39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39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39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39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39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39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39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39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39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39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39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39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39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39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39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39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39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39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39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39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39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39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39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39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39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39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39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39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39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39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39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39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39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39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39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39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39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39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39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39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39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39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39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39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39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39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39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39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39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39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39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39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39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39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39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39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39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39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39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39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39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39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39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39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39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39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39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39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39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39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39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39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39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39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39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39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39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39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39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39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39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39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39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39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39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39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39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39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39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39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39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39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39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39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39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39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39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39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39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39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39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39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39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39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39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39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39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39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39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39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39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39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39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39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39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39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39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39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39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39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39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39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39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39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39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39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39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39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39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39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39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39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39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39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39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39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39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39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39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39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39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39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39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39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39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39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39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39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39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39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39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39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39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39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39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39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39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39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39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39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39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39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39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39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39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39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39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39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39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39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39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39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39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39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39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39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39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39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39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39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39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39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39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39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39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39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39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39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39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39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39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39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39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39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39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39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39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39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39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39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39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39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39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39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39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39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39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39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39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39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39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39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39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39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39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39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39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39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39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39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39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39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39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39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39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39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39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39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39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39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39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39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39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39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39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39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39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39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39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39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39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39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39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39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39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39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39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39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39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39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39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39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39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39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39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39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39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39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39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39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39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39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39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39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39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39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39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39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39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39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39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39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39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39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39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39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39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39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39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39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39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39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39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39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39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39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39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39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39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39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39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39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39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39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39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39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39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39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39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39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39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39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39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39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39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39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39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39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39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39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39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39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39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39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39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39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39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39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39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39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39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39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39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39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39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39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39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39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39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39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39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39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39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39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39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39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39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39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39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39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39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39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39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39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39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39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39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39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39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39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39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39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39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39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39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39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39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39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39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39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39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39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39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39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39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39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39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39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39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39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39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39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39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39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39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39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39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39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39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39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39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39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39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39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39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39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39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39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39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39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39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39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39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39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39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39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39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39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39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39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39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39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39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39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39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39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39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39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39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39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39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39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39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39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39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39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39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39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39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39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39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39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39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39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39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39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39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39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39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39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39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39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39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39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39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39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39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39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39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39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39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39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39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39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39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39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39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39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39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39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39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39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39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39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39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39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39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39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39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39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39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39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39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39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39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39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39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39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39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39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39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39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39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39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39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39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39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39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39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39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39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39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39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39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39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39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39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39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39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39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39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39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39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39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39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39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39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39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39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39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39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39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39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39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39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39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39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39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39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39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39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39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39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39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39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39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39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39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39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39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39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39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39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39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39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39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39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39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39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39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39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39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39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39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39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39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39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39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39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39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39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39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39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39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39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39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39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39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39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39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39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39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39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39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39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39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39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39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39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39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39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39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39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39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39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39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39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39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39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39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39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39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39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39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39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39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39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39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39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39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39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39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39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39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39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39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39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39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39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39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39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39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39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39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39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39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39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39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39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39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39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39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39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39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39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39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39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39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39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39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39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39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39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39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39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39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39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39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39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39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39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39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39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39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39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39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39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39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39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39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39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39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39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39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39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39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39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39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39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39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39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39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39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39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39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39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39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39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39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39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39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39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39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39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39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39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39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39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39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39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39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39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39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39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39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39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39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39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39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39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39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39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39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39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39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39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39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39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39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39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39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39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39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39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39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39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39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39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39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39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39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39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39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39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39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39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39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39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39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39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39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39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39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39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39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39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39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39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39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39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39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39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39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39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39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39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39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39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39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39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39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39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39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39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39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39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39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39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39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39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39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39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39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39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39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39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39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39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39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39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39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39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39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39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39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39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39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39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39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39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39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39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39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39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39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39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39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39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39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39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39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39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39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39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39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39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39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39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39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39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39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ht="39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ht="39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dataValidations>
    <dataValidation type="list" allowBlank="1" showErrorMessage="1" sqref="G13:G1000">
      <formula1>Sheet2!$A$1:$A$4</formula1>
    </dataValidation>
    <dataValidation type="list" allowBlank="1" showErrorMessage="1" sqref="G2:G12">
      <formula1>#REF!</formula1>
    </dataValidation>
  </dataValidations>
  <printOptions/>
  <pageMargins bottom="1.0" footer="0.0" header="0.0" left="0.75" right="0.75" top="1.0"/>
  <pageSetup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75" customHeight="1">
      <c r="A1" s="1" t="s">
        <v>0</v>
      </c>
    </row>
    <row r="2" ht="12.75" customHeight="1">
      <c r="A2" s="1" t="s">
        <v>1</v>
      </c>
    </row>
    <row r="3" ht="12.75" customHeight="1">
      <c r="A3" s="1" t="s">
        <v>2</v>
      </c>
    </row>
    <row r="4" ht="12.75" customHeight="1">
      <c r="A4" s="1" t="s">
        <v>3</v>
      </c>
    </row>
    <row r="5" ht="12.75" customHeight="1">
      <c r="A5" s="2" t="s">
        <v>4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2008-04-16T05:50:01Z</dcterms:created>
  <dc:creator>400524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